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ya\Documents\Upsc project\"/>
    </mc:Choice>
  </mc:AlternateContent>
  <xr:revisionPtr revIDLastSave="0" documentId="8_{507E9630-5659-453A-BB79-2DEEC7C0EA2E}" xr6:coauthVersionLast="47" xr6:coauthVersionMax="47" xr10:uidLastSave="{00000000-0000-0000-0000-000000000000}"/>
  <bookViews>
    <workbookView xWindow="2964" yWindow="2964" windowWidth="17280" windowHeight="8880" firstSheet="1" activeTab="5" xr2:uid="{F07E9491-4929-4E94-AC62-C82C269B512C}"/>
  </bookViews>
  <sheets>
    <sheet name="UPSC_Master_Data" sheetId="1" r:id="rId1"/>
    <sheet name="Calculated_Metrics" sheetId="3" r:id="rId2"/>
    <sheet name="Analysis" sheetId="5" r:id="rId3"/>
    <sheet name="Insights" sheetId="6" r:id="rId4"/>
    <sheet name="Summary_Stats" sheetId="7" r:id="rId5"/>
    <sheet name="Dashboard" sheetId="8" r:id="rId6"/>
    <sheet name="Source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K5" i="8"/>
  <c r="H5" i="8"/>
  <c r="E5" i="8"/>
  <c r="M4" i="7"/>
  <c r="M3" i="7"/>
  <c r="N2" i="7"/>
  <c r="M2" i="7"/>
  <c r="L2" i="7"/>
  <c r="F7" i="7"/>
  <c r="E7" i="7"/>
  <c r="K7" i="7"/>
  <c r="K8" i="7"/>
  <c r="J8" i="7"/>
  <c r="I8" i="7"/>
  <c r="J7" i="7"/>
  <c r="I7" i="7"/>
  <c r="K6" i="7"/>
  <c r="I6" i="7"/>
  <c r="J6" i="7"/>
  <c r="I5" i="7"/>
  <c r="I4" i="7"/>
  <c r="J5" i="7"/>
  <c r="J4" i="7"/>
  <c r="K4" i="7"/>
  <c r="H8" i="7"/>
  <c r="H7" i="7"/>
  <c r="H6" i="7"/>
  <c r="H5" i="7"/>
  <c r="H4" i="7"/>
  <c r="G8" i="7"/>
  <c r="G7" i="7"/>
  <c r="G6" i="7"/>
  <c r="G5" i="7"/>
  <c r="G4" i="7"/>
  <c r="F8" i="7"/>
  <c r="E8" i="7"/>
  <c r="F6" i="7"/>
  <c r="E6" i="7"/>
  <c r="F5" i="7"/>
  <c r="E5" i="7"/>
  <c r="F4" i="7"/>
  <c r="E4" i="7"/>
  <c r="F3" i="7"/>
  <c r="E3" i="7"/>
  <c r="F2" i="7"/>
  <c r="E2" i="7"/>
  <c r="B8" i="7"/>
  <c r="B7" i="7"/>
  <c r="B6" i="7"/>
  <c r="B5" i="7"/>
  <c r="C8" i="7"/>
  <c r="C7" i="7"/>
  <c r="C6" i="7"/>
  <c r="C5" i="7"/>
  <c r="C4" i="7"/>
  <c r="D4" i="7"/>
  <c r="D3" i="7"/>
  <c r="D2" i="7"/>
  <c r="D8" i="7"/>
  <c r="D7" i="7"/>
  <c r="D6" i="7"/>
  <c r="D5" i="7"/>
  <c r="B4" i="7"/>
  <c r="C3" i="7"/>
  <c r="B3" i="7"/>
  <c r="C2" i="7"/>
  <c r="B2" i="7"/>
  <c r="B3" i="3"/>
  <c r="C2" i="5"/>
  <c r="C14" i="5"/>
  <c r="C12" i="5"/>
  <c r="C13" i="5"/>
  <c r="C11" i="5"/>
  <c r="C10" i="5"/>
  <c r="C9" i="5"/>
  <c r="C8" i="5"/>
  <c r="C7" i="5"/>
  <c r="C6" i="5"/>
  <c r="C5" i="5"/>
  <c r="C4" i="5"/>
  <c r="C3" i="5"/>
  <c r="I2" i="3"/>
  <c r="N3" i="3"/>
  <c r="N4" i="3"/>
  <c r="N5" i="3"/>
  <c r="N6" i="3"/>
  <c r="N7" i="3"/>
  <c r="N2" i="3"/>
  <c r="M3" i="3"/>
  <c r="M4" i="3"/>
  <c r="M5" i="3"/>
  <c r="M6" i="3"/>
  <c r="M7" i="3"/>
  <c r="M2" i="3"/>
  <c r="L7" i="3"/>
  <c r="L3" i="3"/>
  <c r="L4" i="3"/>
  <c r="L5" i="3"/>
  <c r="L6" i="3"/>
  <c r="L2" i="3"/>
  <c r="K3" i="3"/>
  <c r="K4" i="3"/>
  <c r="K5" i="3"/>
  <c r="K6" i="3"/>
  <c r="K7" i="3"/>
  <c r="K2" i="3"/>
  <c r="J3" i="3"/>
  <c r="J4" i="3"/>
  <c r="J5" i="3"/>
  <c r="J6" i="3"/>
  <c r="J7" i="3"/>
  <c r="J2" i="3"/>
  <c r="I3" i="3"/>
  <c r="I4" i="3"/>
  <c r="I5" i="3"/>
  <c r="I6" i="3"/>
  <c r="I7" i="3"/>
  <c r="H3" i="3"/>
  <c r="H4" i="3"/>
  <c r="H5" i="3"/>
  <c r="H6" i="3"/>
  <c r="H7" i="3"/>
  <c r="H2" i="3"/>
  <c r="C3" i="3"/>
  <c r="D3" i="3"/>
  <c r="E3" i="3"/>
  <c r="F3" i="3"/>
  <c r="G3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C2" i="3"/>
  <c r="D2" i="3"/>
  <c r="E2" i="3"/>
  <c r="F2" i="3"/>
  <c r="G2" i="3"/>
  <c r="B2" i="3"/>
  <c r="K5" i="7" l="1"/>
</calcChain>
</file>

<file path=xl/sharedStrings.xml><?xml version="1.0" encoding="utf-8"?>
<sst xmlns="http://schemas.openxmlformats.org/spreadsheetml/2006/main" count="152" uniqueCount="99">
  <si>
    <t>Year</t>
  </si>
  <si>
    <t>Applied</t>
  </si>
  <si>
    <t>Appeared in Prelims</t>
  </si>
  <si>
    <t>Qualified for Mains</t>
  </si>
  <si>
    <t>Personality Test</t>
  </si>
  <si>
    <t>Recommended</t>
  </si>
  <si>
    <t>Vacancies</t>
  </si>
  <si>
    <t>Appearance Rate</t>
  </si>
  <si>
    <t>Prelims → Mains %</t>
  </si>
  <si>
    <t>Selection Rate Among Appeared</t>
  </si>
  <si>
    <t>Vacancy Fulfilment %</t>
  </si>
  <si>
    <t>Metric / Data Category</t>
  </si>
  <si>
    <t>Source</t>
  </si>
  <si>
    <t>Source Type</t>
  </si>
  <si>
    <t>Notes</t>
  </si>
  <si>
    <t>Applications, Prelims participation, Mains qualification, Personality Test</t>
  </si>
  <si>
    <t>Official UPSC / Government</t>
  </si>
  <si>
    <t>To be verified against the relevant UPSC Annual Report / official release</t>
  </si>
  <si>
    <t>Final recommendations and vacancies</t>
  </si>
  <si>
    <t>Initial vacancies and subsequent reserve-list recommendations may differ; methodology to be finalized</t>
  </si>
  <si>
    <t>Stage-wise figures to be verified</t>
  </si>
  <si>
    <t>761 recommended against 836 reported vacancies</t>
  </si>
  <si>
    <t>685 recommended against 749 reported vacancies</t>
  </si>
  <si>
    <t>PIB</t>
  </si>
  <si>
    <t>Official Government</t>
  </si>
  <si>
    <t>11,35,697 applied; 5,73,735 appeared; 13,090 Mains qualified; 2,529 Personality Test; 933 recommended</t>
  </si>
  <si>
    <t>933 candidates recommended; 1,022 vacancies reported</t>
  </si>
  <si>
    <t>PIB / UPSC</t>
  </si>
  <si>
    <t>Official Government / UPSC</t>
  </si>
  <si>
    <t>10,16,850 applied; 5,92,141 appeared; 14,624 Mains qualified; 2,855 Personality Test; 1,016 recommended</t>
  </si>
  <si>
    <t>1,016 candidates recommended; 1,143 vacancies reported</t>
  </si>
  <si>
    <t>9,92,599 applied; 5,83,213 appeared; 14,627 Mains qualified; 2,845 Personality Test; 1,009 recommended</t>
  </si>
  <si>
    <t>1,009 candidates recommended; 1,129 vacancies reported</t>
  </si>
  <si>
    <t>Appeared</t>
  </si>
  <si>
    <t>Appearance Rate %</t>
  </si>
  <si>
    <t>Mains → Personality Test %</t>
  </si>
  <si>
    <t>Personality Test → Recommended %</t>
  </si>
  <si>
    <t>Overall Selection Rate %</t>
  </si>
  <si>
    <t>Selection Rate Among Appeared %</t>
  </si>
  <si>
    <t>Participation</t>
  </si>
  <si>
    <t>Applied Candidates</t>
  </si>
  <si>
    <t>Appeared Candidates</t>
  </si>
  <si>
    <t>Funnel</t>
  </si>
  <si>
    <t>Mains Qualified</t>
  </si>
  <si>
    <t>Prelims → Mains Rate</t>
  </si>
  <si>
    <t>Mains → Personality Test Rate</t>
  </si>
  <si>
    <t>Personality Test → Recommended Rate</t>
  </si>
  <si>
    <t>Outcome</t>
  </si>
  <si>
    <t>Overall Selection Rate</t>
  </si>
  <si>
    <t>Vacancy Fulfilment</t>
  </si>
  <si>
    <t>Analysis Area</t>
  </si>
  <si>
    <t>Metric</t>
  </si>
  <si>
    <t>Key Finding</t>
  </si>
  <si>
    <t>Business/Analytical Interpretation</t>
  </si>
  <si>
    <t>Participation Trend</t>
  </si>
  <si>
    <t>Prelims Appearance</t>
  </si>
  <si>
    <t>Prelims → Mains Funnel</t>
  </si>
  <si>
    <t>Mains → Personality Test</t>
  </si>
  <si>
    <t>Personality Test → Recommendation</t>
  </si>
  <si>
    <t>Overall Selection</t>
  </si>
  <si>
    <t>Vacancy vs Recommendation</t>
  </si>
  <si>
    <t>2024 Snapshot</t>
  </si>
  <si>
    <t>Average (2019–2024)</t>
  </si>
  <si>
    <t>Minimum</t>
  </si>
  <si>
    <t>Maximum</t>
  </si>
  <si>
    <t>Year of Minimum</t>
  </si>
  <si>
    <t>Year of Maximum</t>
  </si>
  <si>
    <t xml:space="preserve">Minimum Value </t>
  </si>
  <si>
    <t>Maximum value</t>
  </si>
  <si>
    <t>2019 Value</t>
  </si>
  <si>
    <t>2024 value</t>
  </si>
  <si>
    <t>Change</t>
  </si>
  <si>
    <t>Vacancy Fulfilment Average</t>
  </si>
  <si>
    <t>Lowest Year</t>
  </si>
  <si>
    <t>Highest Year</t>
  </si>
  <si>
    <t>Lowest Fulfilment %</t>
  </si>
  <si>
    <t>Highest Fulfilment %</t>
  </si>
  <si>
    <t>Applications declined from 1,135,261 in 2019 to 992,599 in 2024, a reduction of approximately 12.6%.</t>
  </si>
  <si>
    <t>The overall applicant pool was lower in 2024 than in 2019, although participation varied substantially across individual years.</t>
  </si>
  <si>
    <t>The appearance rate ranged from 46.42% in 2024 to 58.76% in 2022.</t>
  </si>
  <si>
    <t>A substantial share of applicants did not appear for Prelims, and the participation gap varied by year.</t>
  </si>
  <si>
    <t>The Prelims-to-Mains qualification rate increased from 2.05% in 2019 to 2.51% in 2024, a 0.45 percentage-point increase.</t>
  </si>
  <si>
    <t>The transition from Prelims to Mains remained highly selective throughout the period, with 2023 recording the highest rate at 2.51%.</t>
  </si>
  <si>
    <t>The Mains-to-Personality-Test rate increased from 17.17% in 2019 to 19.45% in 2024.</t>
  </si>
  <si>
    <t>The proportion progressing from Mains to the Personality Test showed an overall improvement between the two endpoints.</t>
  </si>
  <si>
    <t>The recommendation rate among Personality Test candidates decreased from 40.76% in 2019 to 35.47% in 2024.</t>
  </si>
  <si>
    <t>Unlike the earlier funnel stages, the final conversion stage was lower in 2024 than in 2019, indicating variation in selection outcomes among candidates reaching the Personality Test.</t>
  </si>
  <si>
    <t>Overall selection increased from approximately 0.07% of applicants in 2019 to 0.10% in 2024.</t>
  </si>
  <si>
    <t>Despite the increase, the examination remained extremely selective, with roughly 1 recommendation per 1,000 applicants in 2024.</t>
  </si>
  <si>
    <t>Recommendations represented an average of 90.24% of reported vacancies during 2019–2024, ranging from 88.89% in 2023 to 91.46% in 2021.</t>
  </si>
  <si>
    <t>The number of recommendations broadly tracked reported vacancies, although recommendations were below the reported vacancy count in each year.</t>
  </si>
  <si>
    <t>In 2024, 992,599 candidates applied, 583,213 appeared for Prelims, 14,627 qualified for Mains, 2,845 reached the Personality Test, and 1,009 were recommended.</t>
  </si>
  <si>
    <t>The 2024 funnel demonstrates the progressive reduction in candidates at each examination stage, from nearly one million applicants to 1,009 recommendations.</t>
  </si>
  <si>
    <t>TOTAL APPLICATIONS</t>
  </si>
  <si>
    <t>AVG APPEARANCE RATE</t>
  </si>
  <si>
    <t>AVG OVERALL SELECTION RATE</t>
  </si>
  <si>
    <t>AVG VACANCY FULFILMENT</t>
  </si>
  <si>
    <t>UPSC Civil Services Examination: Success Rate &amp; Competition Analysis</t>
  </si>
  <si>
    <t>2019–2024 | Business Analytics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</si>
</sst>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24"/>
      <color theme="1"/>
      <name val="Cascadia Code"/>
      <family val="3"/>
    </font>
    <font>
      <u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Applications vs Prelims Appearance (2019–2024)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UPSC_Master_Data!$A$1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UPSC_Master_Data!$A$2:$A$7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D-424A-B513-1D5EE7DE88DC}"/>
            </c:ext>
          </c:extLst>
        </c:ser>
        <c:ser>
          <c:idx val="1"/>
          <c:order val="1"/>
          <c:tx>
            <c:strRef>
              <c:f>UPSC_Master_Data!$B$1</c:f>
              <c:strCache>
                <c:ptCount val="1"/>
                <c:pt idx="0">
                  <c:v>Applied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UPSC_Master_Data!$B$2:$B$7</c:f>
              <c:numCache>
                <c:formatCode>General</c:formatCode>
                <c:ptCount val="6"/>
                <c:pt idx="0">
                  <c:v>1135261</c:v>
                </c:pt>
                <c:pt idx="1">
                  <c:v>1040060</c:v>
                </c:pt>
                <c:pt idx="2">
                  <c:v>1093984</c:v>
                </c:pt>
                <c:pt idx="3">
                  <c:v>1135697</c:v>
                </c:pt>
                <c:pt idx="4">
                  <c:v>1016850</c:v>
                </c:pt>
                <c:pt idx="5">
                  <c:v>992599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D-424A-B513-1D5EE7DE88DC}"/>
            </c:ext>
          </c:extLst>
        </c:ser>
        <c:ser>
          <c:idx val="2"/>
          <c:order val="2"/>
          <c:tx>
            <c:strRef>
              <c:f>UPSC_Master_Data!$C$1</c:f>
              <c:strCache>
                <c:ptCount val="1"/>
                <c:pt idx="0">
                  <c:v>Appeared in Prelims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UPSC_Master_Data!$C$2:$C$7</c:f>
              <c:numCache>
                <c:formatCode>General</c:formatCode>
                <c:ptCount val="6"/>
                <c:pt idx="0">
                  <c:v>576712</c:v>
                </c:pt>
                <c:pt idx="1">
                  <c:v>482770</c:v>
                </c:pt>
                <c:pt idx="2">
                  <c:v>508619</c:v>
                </c:pt>
                <c:pt idx="3">
                  <c:v>573735</c:v>
                </c:pt>
                <c:pt idx="4">
                  <c:v>592141</c:v>
                </c:pt>
                <c:pt idx="5">
                  <c:v>583213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D-424A-B513-1D5EE7DE8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704975"/>
        <c:axId val="1246603631"/>
      </c:lineChart>
      <c:catAx>
        <c:axId val="1202704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03631"/>
        <c:crosses val="autoZero"/>
        <c:auto val="1"/>
        <c:lblAlgn val="ctr"/>
        <c:lblOffset val="100"/>
        <c:noMultiLvlLbl val="0"/>
      </c:catAx>
      <c:valAx>
        <c:axId val="124660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7049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cap="none" baseline="0"/>
              <a:t>Examination Funnel — Candidate Progression (2019–2024)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UPSC_Master_Data!$A$1</c:f>
              <c:strCache>
                <c:ptCount val="1"/>
                <c:pt idx="0">
                  <c:v>Year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val>
            <c:numRef>
              <c:f>UPSC_Master_Data!$A$2:$A$7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C-4009-B846-5F6FA606C477}"/>
            </c:ext>
          </c:extLst>
        </c:ser>
        <c:ser>
          <c:idx val="1"/>
          <c:order val="1"/>
          <c:tx>
            <c:strRef>
              <c:f>UPSC_Master_Data!$C$1</c:f>
              <c:strCache>
                <c:ptCount val="1"/>
                <c:pt idx="0">
                  <c:v>Appeared in Prelims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val>
            <c:numRef>
              <c:f>UPSC_Master_Data!$C$2:$C$7</c:f>
              <c:numCache>
                <c:formatCode>General</c:formatCode>
                <c:ptCount val="6"/>
                <c:pt idx="0">
                  <c:v>576712</c:v>
                </c:pt>
                <c:pt idx="1">
                  <c:v>482770</c:v>
                </c:pt>
                <c:pt idx="2">
                  <c:v>508619</c:v>
                </c:pt>
                <c:pt idx="3">
                  <c:v>573735</c:v>
                </c:pt>
                <c:pt idx="4">
                  <c:v>592141</c:v>
                </c:pt>
                <c:pt idx="5">
                  <c:v>583213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C-4009-B846-5F6FA606C477}"/>
            </c:ext>
          </c:extLst>
        </c:ser>
        <c:ser>
          <c:idx val="2"/>
          <c:order val="2"/>
          <c:tx>
            <c:strRef>
              <c:f>UPSC_Master_Data!$D$1</c:f>
              <c:strCache>
                <c:ptCount val="1"/>
                <c:pt idx="0">
                  <c:v>Qualified for Mains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val>
            <c:numRef>
              <c:f>UPSC_Master_Data!$D$2:$D$7</c:f>
              <c:numCache>
                <c:formatCode>General</c:formatCode>
                <c:ptCount val="6"/>
                <c:pt idx="0">
                  <c:v>11845</c:v>
                </c:pt>
                <c:pt idx="1">
                  <c:v>10564</c:v>
                </c:pt>
                <c:pt idx="2">
                  <c:v>9214</c:v>
                </c:pt>
                <c:pt idx="3">
                  <c:v>13090</c:v>
                </c:pt>
                <c:pt idx="4">
                  <c:v>14624</c:v>
                </c:pt>
                <c:pt idx="5">
                  <c:v>14627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C-4009-B846-5F6FA606C477}"/>
            </c:ext>
          </c:extLst>
        </c:ser>
        <c:ser>
          <c:idx val="3"/>
          <c:order val="3"/>
          <c:tx>
            <c:strRef>
              <c:f>UPSC_Master_Data!$E$1</c:f>
              <c:strCache>
                <c:ptCount val="1"/>
                <c:pt idx="0">
                  <c:v>Personality Test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val>
            <c:numRef>
              <c:f>UPSC_Master_Data!$E$2:$E$7</c:f>
              <c:numCache>
                <c:formatCode>General</c:formatCode>
                <c:ptCount val="6"/>
                <c:pt idx="0">
                  <c:v>2034</c:v>
                </c:pt>
                <c:pt idx="1">
                  <c:v>2053</c:v>
                </c:pt>
                <c:pt idx="2">
                  <c:v>1824</c:v>
                </c:pt>
                <c:pt idx="3">
                  <c:v>2529</c:v>
                </c:pt>
                <c:pt idx="4">
                  <c:v>2855</c:v>
                </c:pt>
                <c:pt idx="5">
                  <c:v>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9C-4009-B846-5F6FA606C477}"/>
            </c:ext>
          </c:extLst>
        </c:ser>
        <c:ser>
          <c:idx val="4"/>
          <c:order val="4"/>
          <c:tx>
            <c:strRef>
              <c:f>UPSC_Master_Data!$F$1</c:f>
              <c:strCache>
                <c:ptCount val="1"/>
                <c:pt idx="0">
                  <c:v>Recommended</c:v>
                </c:pt>
              </c:strCache>
            </c:strRef>
          </c:tx>
          <c:spPr>
            <a:noFill/>
            <a:ln w="25400" cap="flat" cmpd="sng" algn="ctr">
              <a:solidFill>
                <a:schemeClr val="accent5"/>
              </a:solidFill>
              <a:miter lim="800000"/>
            </a:ln>
            <a:effectLst/>
          </c:spPr>
          <c:invertIfNegative val="0"/>
          <c:val>
            <c:numRef>
              <c:f>UPSC_Master_Data!$F$2:$F$7</c:f>
              <c:numCache>
                <c:formatCode>General</c:formatCode>
                <c:ptCount val="6"/>
                <c:pt idx="0">
                  <c:v>829</c:v>
                </c:pt>
                <c:pt idx="1">
                  <c:v>761</c:v>
                </c:pt>
                <c:pt idx="2">
                  <c:v>685</c:v>
                </c:pt>
                <c:pt idx="3">
                  <c:v>933</c:v>
                </c:pt>
                <c:pt idx="4">
                  <c:v>1016</c:v>
                </c:pt>
                <c:pt idx="5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9C-4009-B846-5F6FA606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847642591"/>
        <c:axId val="1246576271"/>
      </c:barChart>
      <c:catAx>
        <c:axId val="847642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76271"/>
        <c:crosses val="autoZero"/>
        <c:auto val="1"/>
        <c:lblAlgn val="ctr"/>
        <c:lblOffset val="100"/>
        <c:noMultiLvlLbl val="0"/>
      </c:catAx>
      <c:valAx>
        <c:axId val="124657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4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Selection Conversion Rates by Stage (2019–2024)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Calculated_Metrics!$A$1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Calculated_Metrics!$A$2:$A$7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A-4724-90D3-6754A8946462}"/>
            </c:ext>
          </c:extLst>
        </c:ser>
        <c:ser>
          <c:idx val="1"/>
          <c:order val="1"/>
          <c:tx>
            <c:strRef>
              <c:f>Calculated_Metrics!$I$1</c:f>
              <c:strCache>
                <c:ptCount val="1"/>
                <c:pt idx="0">
                  <c:v>Prelims → Mains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Calculated_Metrics!$I$2:$I$7</c:f>
              <c:numCache>
                <c:formatCode>0.00</c:formatCode>
                <c:ptCount val="6"/>
                <c:pt idx="0">
                  <c:v>2.0538847813119894</c:v>
                </c:pt>
                <c:pt idx="1">
                  <c:v>2.1882055637259978</c:v>
                </c:pt>
                <c:pt idx="2">
                  <c:v>1.8115721197989063</c:v>
                </c:pt>
                <c:pt idx="3">
                  <c:v>2.2815411296155892</c:v>
                </c:pt>
                <c:pt idx="4">
                  <c:v>2.4696820520788121</c:v>
                </c:pt>
                <c:pt idx="5">
                  <c:v>2.508003079492398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8A-4724-90D3-6754A8946462}"/>
            </c:ext>
          </c:extLst>
        </c:ser>
        <c:ser>
          <c:idx val="2"/>
          <c:order val="2"/>
          <c:tx>
            <c:strRef>
              <c:f>Calculated_Metrics!$J$1</c:f>
              <c:strCache>
                <c:ptCount val="1"/>
                <c:pt idx="0">
                  <c:v>Mains → Personality Test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Calculated_Metrics!$J$2:$J$7</c:f>
              <c:numCache>
                <c:formatCode>0.00</c:formatCode>
                <c:ptCount val="6"/>
                <c:pt idx="0">
                  <c:v>17.171802448290418</c:v>
                </c:pt>
                <c:pt idx="1">
                  <c:v>19.433926542976145</c:v>
                </c:pt>
                <c:pt idx="2">
                  <c:v>19.795962665509009</c:v>
                </c:pt>
                <c:pt idx="3">
                  <c:v>19.320091673032849</c:v>
                </c:pt>
                <c:pt idx="4">
                  <c:v>19.522702407002189</c:v>
                </c:pt>
                <c:pt idx="5">
                  <c:v>19.450331578587544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8A-4724-90D3-6754A8946462}"/>
            </c:ext>
          </c:extLst>
        </c:ser>
        <c:ser>
          <c:idx val="3"/>
          <c:order val="3"/>
          <c:tx>
            <c:strRef>
              <c:f>Calculated_Metrics!$K$1</c:f>
              <c:strCache>
                <c:ptCount val="1"/>
                <c:pt idx="0">
                  <c:v>Personality Test → Recommended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Calculated_Metrics!$K$2:$K$7</c:f>
              <c:numCache>
                <c:formatCode>0.00</c:formatCode>
                <c:ptCount val="6"/>
                <c:pt idx="0">
                  <c:v>40.757128810226156</c:v>
                </c:pt>
                <c:pt idx="1">
                  <c:v>37.067705796395515</c:v>
                </c:pt>
                <c:pt idx="2">
                  <c:v>37.554824561403507</c:v>
                </c:pt>
                <c:pt idx="3">
                  <c:v>36.892052194543297</c:v>
                </c:pt>
                <c:pt idx="4">
                  <c:v>35.586690017513135</c:v>
                </c:pt>
                <c:pt idx="5">
                  <c:v>35.465729349736378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8A-4724-90D3-6754A8946462}"/>
            </c:ext>
          </c:extLst>
        </c:ser>
        <c:ser>
          <c:idx val="4"/>
          <c:order val="4"/>
          <c:tx>
            <c:strRef>
              <c:f>Calculated_Metrics!$L$1</c:f>
              <c:strCache>
                <c:ptCount val="1"/>
                <c:pt idx="0">
                  <c:v>Overall Selection Rate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Calculated_Metrics!$L$2:$L$7</c:f>
              <c:numCache>
                <c:formatCode>0.00</c:formatCode>
                <c:ptCount val="6"/>
                <c:pt idx="0">
                  <c:v>7.3022855537184836E-2</c:v>
                </c:pt>
                <c:pt idx="1">
                  <c:v>7.3168855642943675E-2</c:v>
                </c:pt>
                <c:pt idx="2">
                  <c:v>6.2615175359054615E-2</c:v>
                </c:pt>
                <c:pt idx="3">
                  <c:v>8.2152193762949091E-2</c:v>
                </c:pt>
                <c:pt idx="4">
                  <c:v>9.9916408516497024E-2</c:v>
                </c:pt>
                <c:pt idx="5">
                  <c:v>0.10165232888608591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8A-4724-90D3-6754A8946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360511"/>
        <c:axId val="1246557551"/>
      </c:lineChart>
      <c:catAx>
        <c:axId val="85336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57551"/>
        <c:crosses val="autoZero"/>
        <c:auto val="1"/>
        <c:lblAlgn val="ctr"/>
        <c:lblOffset val="100"/>
        <c:noMultiLvlLbl val="0"/>
      </c:catAx>
      <c:valAx>
        <c:axId val="1246557551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6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Recommended Candidates vs Reported Vacancies (2019–2024)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UPSC_Master_Data!$A$1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UPSC_Master_Data!$A$2:$A$7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B-4418-AADC-A4CAF3CE2C10}"/>
            </c:ext>
          </c:extLst>
        </c:ser>
        <c:ser>
          <c:idx val="1"/>
          <c:order val="1"/>
          <c:tx>
            <c:strRef>
              <c:f>UPSC_Master_Data!$F$1</c:f>
              <c:strCache>
                <c:ptCount val="1"/>
                <c:pt idx="0">
                  <c:v>Recommended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UPSC_Master_Data!$F$2:$F$7</c:f>
              <c:numCache>
                <c:formatCode>General</c:formatCode>
                <c:ptCount val="6"/>
                <c:pt idx="0">
                  <c:v>829</c:v>
                </c:pt>
                <c:pt idx="1">
                  <c:v>761</c:v>
                </c:pt>
                <c:pt idx="2">
                  <c:v>685</c:v>
                </c:pt>
                <c:pt idx="3">
                  <c:v>933</c:v>
                </c:pt>
                <c:pt idx="4">
                  <c:v>1016</c:v>
                </c:pt>
                <c:pt idx="5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B-4418-AADC-A4CAF3CE2C10}"/>
            </c:ext>
          </c:extLst>
        </c:ser>
        <c:ser>
          <c:idx val="2"/>
          <c:order val="2"/>
          <c:tx>
            <c:strRef>
              <c:f>UPSC_Master_Data!$G$1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UPSC_Master_Data!$G$2:$G$7</c:f>
              <c:numCache>
                <c:formatCode>General</c:formatCode>
                <c:ptCount val="6"/>
                <c:pt idx="0">
                  <c:v>927</c:v>
                </c:pt>
                <c:pt idx="1">
                  <c:v>836</c:v>
                </c:pt>
                <c:pt idx="2">
                  <c:v>749</c:v>
                </c:pt>
                <c:pt idx="3">
                  <c:v>1022</c:v>
                </c:pt>
                <c:pt idx="4">
                  <c:v>1143</c:v>
                </c:pt>
                <c:pt idx="5">
                  <c:v>1129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FB-4418-AADC-A4CAF3CE2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100895"/>
        <c:axId val="1246528271"/>
      </c:barChart>
      <c:catAx>
        <c:axId val="1433100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28271"/>
        <c:crosses val="autoZero"/>
        <c:auto val="1"/>
        <c:lblAlgn val="ctr"/>
        <c:lblOffset val="100"/>
        <c:noMultiLvlLbl val="0"/>
      </c:catAx>
      <c:valAx>
        <c:axId val="124652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0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4061460</xdr:colOff>
      <xdr:row>7</xdr:row>
      <xdr:rowOff>167640</xdr:rowOff>
    </xdr:from>
    <xdr:to>
      <xdr:col>6</xdr:col>
      <xdr:colOff>22860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D748A-58C3-4112-9AAE-0DD3950DB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175260</xdr:rowOff>
    </xdr:from>
    <xdr:to>
      <xdr:col>10</xdr:col>
      <xdr:colOff>1623060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6D2A0F-34B0-48FF-A059-0781EA126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4069080</xdr:colOff>
      <xdr:row>23</xdr:row>
      <xdr:rowOff>175260</xdr:rowOff>
    </xdr:from>
    <xdr:to>
      <xdr:col>6</xdr:col>
      <xdr:colOff>7620</xdr:colOff>
      <xdr:row>38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4BB5EC-541D-4555-8745-3319387C9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10</xdr:col>
      <xdr:colOff>1623060</xdr:colOff>
      <xdr:row>38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CA2159-52E9-4C7B-8898-AA90F58B5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10297</xdr:colOff>
      <xdr:row>40</xdr:row>
      <xdr:rowOff>133864</xdr:rowOff>
    </xdr:from>
    <xdr:to>
      <xdr:col>10</xdr:col>
      <xdr:colOff>1596081</xdr:colOff>
      <xdr:row>45</xdr:row>
      <xdr:rowOff>113271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65E575-4FF6-3833-BD9A-67F03846C2C9}"/>
            </a:ext>
          </a:extLst>
        </xdr:cNvPr>
        <xdr:cNvSpPr txBox="1"/>
      </xdr:nvSpPr>
      <xdr:spPr>
        <a:xfrm>
          <a:off x="4088027" y="7980405"/>
          <a:ext cx="12593595" cy="906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Data Note:</a:t>
          </a:r>
          <a:r>
            <a:rPr lang="en-IN" sz="2000"/>
            <a:t> Recommendations represent the initial final-result recommendations for each year. Vacancy fulfilment is calculated as recommendations as a percentage of reported vacancies.</a:t>
          </a:r>
        </a:p>
      </xdr:txBody>
    </xdr:sp>
    <xdr:clientData/>
  </xdr:twoCellAnchor>
  <xdr:oneCellAnchor>
    <xdr:from>
      <xdr:col>3</xdr:col>
      <xdr:colOff>205740</xdr:colOff>
      <xdr:row>39</xdr:row>
      <xdr:rowOff>68580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1735C8-6173-F808-7522-58DDFE62E4CD}"/>
            </a:ext>
          </a:extLst>
        </xdr:cNvPr>
        <xdr:cNvSpPr txBox="1"/>
      </xdr:nvSpPr>
      <xdr:spPr>
        <a:xfrm>
          <a:off x="6172200" y="72847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D94A-ABAF-4AE6-A27F-012B0DB09EF5}">
  <dimension ref="A1:L7"/>
  <sheetViews>
    <sheetView workbookViewId="0">
      <selection activeCell="G1" activeCellId="2" sqref="A1:A7 F1:F1048576 G1:G1048576"/>
    </sheetView>
  </sheetViews>
  <sheetFormatPr defaultRowHeight="14.4" x14ac:dyDescent="0.3"/>
  <cols>
    <col min="2" max="2" width="8.5546875" customWidth="1"/>
    <col min="3" max="3" width="18.21875" customWidth="1"/>
    <col min="4" max="4" width="17.109375" customWidth="1"/>
    <col min="5" max="5" width="14.6640625" customWidth="1"/>
    <col min="6" max="6" width="14.44140625" customWidth="1"/>
    <col min="7" max="7" width="10.44140625" customWidth="1"/>
    <col min="8" max="8" width="16.77734375" customWidth="1"/>
    <col min="9" max="9" width="16.33203125" customWidth="1"/>
    <col min="10" max="10" width="12.33203125" customWidth="1"/>
    <col min="11" max="11" width="19.44140625" customWidth="1"/>
    <col min="12" max="12" width="12.21875" customWidth="1"/>
    <col min="13" max="13" width="16.109375" customWidth="1"/>
    <col min="14" max="14" width="11.664062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1"/>
      <c r="J1" s="2"/>
      <c r="K1" s="1"/>
      <c r="L1" s="1"/>
    </row>
    <row r="2" spans="1:12" x14ac:dyDescent="0.3">
      <c r="A2" s="2">
        <v>2019</v>
      </c>
      <c r="B2" s="2">
        <v>1135261</v>
      </c>
      <c r="C2" s="2">
        <v>576712</v>
      </c>
      <c r="D2" s="2">
        <v>11845</v>
      </c>
      <c r="E2" s="2">
        <v>2034</v>
      </c>
      <c r="F2" s="2">
        <v>829</v>
      </c>
      <c r="G2" s="2">
        <v>927</v>
      </c>
      <c r="H2" s="2"/>
      <c r="I2" s="1"/>
      <c r="J2" s="2"/>
      <c r="K2" s="1"/>
      <c r="L2" s="1"/>
    </row>
    <row r="3" spans="1:12" x14ac:dyDescent="0.3">
      <c r="A3" s="2">
        <v>2020</v>
      </c>
      <c r="B3" s="2">
        <v>1040060</v>
      </c>
      <c r="C3" s="2">
        <v>482770</v>
      </c>
      <c r="D3" s="2">
        <v>10564</v>
      </c>
      <c r="E3" s="2">
        <v>2053</v>
      </c>
      <c r="F3" s="2">
        <v>761</v>
      </c>
      <c r="G3" s="2">
        <v>836</v>
      </c>
      <c r="H3" s="2"/>
      <c r="I3" s="1"/>
      <c r="J3" s="2"/>
      <c r="K3" s="1"/>
      <c r="L3" s="1"/>
    </row>
    <row r="4" spans="1:12" x14ac:dyDescent="0.3">
      <c r="A4" s="2">
        <v>2021</v>
      </c>
      <c r="B4" s="2">
        <v>1093984</v>
      </c>
      <c r="C4" s="2">
        <v>508619</v>
      </c>
      <c r="D4" s="2">
        <v>9214</v>
      </c>
      <c r="E4" s="2">
        <v>1824</v>
      </c>
      <c r="F4" s="2">
        <v>685</v>
      </c>
      <c r="G4" s="2">
        <v>749</v>
      </c>
      <c r="H4" s="2"/>
      <c r="I4" s="1"/>
      <c r="J4" s="2"/>
      <c r="K4" s="1"/>
      <c r="L4" s="1"/>
    </row>
    <row r="5" spans="1:12" x14ac:dyDescent="0.3">
      <c r="A5" s="2">
        <v>2022</v>
      </c>
      <c r="B5" s="2">
        <v>1135697</v>
      </c>
      <c r="C5" s="2">
        <v>573735</v>
      </c>
      <c r="D5" s="2">
        <v>13090</v>
      </c>
      <c r="E5" s="2">
        <v>2529</v>
      </c>
      <c r="F5" s="2">
        <v>933</v>
      </c>
      <c r="G5" s="2">
        <v>1022</v>
      </c>
      <c r="H5" s="2"/>
      <c r="I5" s="1"/>
      <c r="J5" s="2"/>
      <c r="K5" s="1"/>
      <c r="L5" s="1"/>
    </row>
    <row r="6" spans="1:12" x14ac:dyDescent="0.3">
      <c r="A6" s="2">
        <v>2023</v>
      </c>
      <c r="B6" s="2">
        <v>1016850</v>
      </c>
      <c r="C6" s="2">
        <v>592141</v>
      </c>
      <c r="D6" s="2">
        <v>14624</v>
      </c>
      <c r="E6" s="2">
        <v>2855</v>
      </c>
      <c r="F6" s="2">
        <v>1016</v>
      </c>
      <c r="G6" s="2">
        <v>1143</v>
      </c>
      <c r="H6" s="2"/>
      <c r="I6" s="1"/>
      <c r="J6" s="2"/>
      <c r="K6" s="1"/>
      <c r="L6" s="1"/>
    </row>
    <row r="7" spans="1:12" x14ac:dyDescent="0.3">
      <c r="A7" s="2">
        <v>2024</v>
      </c>
      <c r="B7" s="2">
        <v>992599</v>
      </c>
      <c r="C7" s="2">
        <v>583213</v>
      </c>
      <c r="D7" s="2">
        <v>14627</v>
      </c>
      <c r="E7" s="2">
        <v>2845</v>
      </c>
      <c r="F7" s="2">
        <v>1009</v>
      </c>
      <c r="G7" s="2">
        <v>1129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AFBC-EBFB-42AA-BB6B-803F2966251F}">
  <dimension ref="A1:N7"/>
  <sheetViews>
    <sheetView workbookViewId="0">
      <selection activeCell="L18" sqref="L18"/>
    </sheetView>
  </sheetViews>
  <sheetFormatPr defaultRowHeight="14.4" x14ac:dyDescent="0.3"/>
  <cols>
    <col min="3" max="3" width="9.6640625" customWidth="1"/>
    <col min="4" max="4" width="17" customWidth="1"/>
    <col min="5" max="5" width="15.44140625" customWidth="1"/>
    <col min="6" max="6" width="14.5546875" customWidth="1"/>
    <col min="7" max="7" width="10.44140625" customWidth="1"/>
    <col min="8" max="8" width="21" customWidth="1"/>
    <col min="9" max="9" width="16.5546875" customWidth="1"/>
    <col min="10" max="10" width="22" customWidth="1"/>
    <col min="11" max="11" width="31" customWidth="1"/>
    <col min="12" max="12" width="21.5546875" bestFit="1" customWidth="1"/>
    <col min="13" max="13" width="29.88671875" bestFit="1" customWidth="1"/>
    <col min="14" max="14" width="19" bestFit="1" customWidth="1"/>
  </cols>
  <sheetData>
    <row r="1" spans="1:14" x14ac:dyDescent="0.3">
      <c r="A1" s="3" t="s">
        <v>0</v>
      </c>
      <c r="B1" s="3" t="s">
        <v>1</v>
      </c>
      <c r="C1" s="3" t="s">
        <v>33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34</v>
      </c>
      <c r="I1" s="3" t="s">
        <v>8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10</v>
      </c>
    </row>
    <row r="2" spans="1:14" x14ac:dyDescent="0.3">
      <c r="A2">
        <v>2019</v>
      </c>
      <c r="B2">
        <f>UPSC_Master_Data!B2</f>
        <v>1135261</v>
      </c>
      <c r="C2">
        <f>UPSC_Master_Data!C2</f>
        <v>576712</v>
      </c>
      <c r="D2">
        <f>UPSC_Master_Data!D2</f>
        <v>11845</v>
      </c>
      <c r="E2">
        <f>UPSC_Master_Data!E2</f>
        <v>2034</v>
      </c>
      <c r="F2">
        <f>UPSC_Master_Data!F2</f>
        <v>829</v>
      </c>
      <c r="G2">
        <f>UPSC_Master_Data!G2</f>
        <v>927</v>
      </c>
      <c r="H2" s="5">
        <f>C2/B2*100</f>
        <v>50.799948205742993</v>
      </c>
      <c r="I2" s="5">
        <f>D2/C2*100</f>
        <v>2.0538847813119894</v>
      </c>
      <c r="J2" s="5">
        <f>E2/D2*100</f>
        <v>17.171802448290418</v>
      </c>
      <c r="K2" s="5">
        <f>F2/E2*100</f>
        <v>40.757128810226156</v>
      </c>
      <c r="L2" s="5">
        <f>F2/B2*100</f>
        <v>7.3022855537184836E-2</v>
      </c>
      <c r="M2" s="5">
        <f>F2/C2*100</f>
        <v>0.14374592517582432</v>
      </c>
      <c r="N2" s="5">
        <f>F2/G2*100</f>
        <v>89.428263214670977</v>
      </c>
    </row>
    <row r="3" spans="1:14" x14ac:dyDescent="0.3">
      <c r="A3">
        <v>2020</v>
      </c>
      <c r="B3">
        <f>UPSC_Master_Data!B3</f>
        <v>1040060</v>
      </c>
      <c r="C3">
        <f>UPSC_Master_Data!C3</f>
        <v>482770</v>
      </c>
      <c r="D3">
        <f>UPSC_Master_Data!D3</f>
        <v>10564</v>
      </c>
      <c r="E3">
        <f>UPSC_Master_Data!E3</f>
        <v>2053</v>
      </c>
      <c r="F3">
        <f>UPSC_Master_Data!F3</f>
        <v>761</v>
      </c>
      <c r="G3">
        <f>UPSC_Master_Data!G3</f>
        <v>836</v>
      </c>
      <c r="H3" s="5">
        <f t="shared" ref="H3:H7" si="0">C3/B3*100</f>
        <v>46.417514374170722</v>
      </c>
      <c r="I3" s="5">
        <f t="shared" ref="I3:I7" si="1">D3/C3*100</f>
        <v>2.1882055637259978</v>
      </c>
      <c r="J3" s="5">
        <f t="shared" ref="J3:J7" si="2">E3/D3*100</f>
        <v>19.433926542976145</v>
      </c>
      <c r="K3" s="5">
        <f t="shared" ref="K3:K7" si="3">F3/E3*100</f>
        <v>37.067705796395515</v>
      </c>
      <c r="L3" s="5">
        <f t="shared" ref="L3:L6" si="4">F3/B3*100</f>
        <v>7.3168855642943675E-2</v>
      </c>
      <c r="M3" s="5">
        <f t="shared" ref="M3:M7" si="5">F3/C3*100</f>
        <v>0.15763199867431696</v>
      </c>
      <c r="N3" s="5">
        <f t="shared" ref="N3:N7" si="6">F3/G3*100</f>
        <v>91.028708133971293</v>
      </c>
    </row>
    <row r="4" spans="1:14" x14ac:dyDescent="0.3">
      <c r="A4">
        <v>2021</v>
      </c>
      <c r="B4">
        <f>UPSC_Master_Data!B4</f>
        <v>1093984</v>
      </c>
      <c r="C4">
        <f>UPSC_Master_Data!C4</f>
        <v>508619</v>
      </c>
      <c r="D4">
        <f>UPSC_Master_Data!D4</f>
        <v>9214</v>
      </c>
      <c r="E4">
        <f>UPSC_Master_Data!E4</f>
        <v>1824</v>
      </c>
      <c r="F4">
        <f>UPSC_Master_Data!F4</f>
        <v>685</v>
      </c>
      <c r="G4">
        <f>UPSC_Master_Data!G4</f>
        <v>749</v>
      </c>
      <c r="H4" s="5">
        <f t="shared" si="0"/>
        <v>46.492361862696349</v>
      </c>
      <c r="I4" s="5">
        <f t="shared" si="1"/>
        <v>1.8115721197989063</v>
      </c>
      <c r="J4" s="5">
        <f t="shared" si="2"/>
        <v>19.795962665509009</v>
      </c>
      <c r="K4" s="5">
        <f t="shared" si="3"/>
        <v>37.554824561403507</v>
      </c>
      <c r="L4" s="5">
        <f t="shared" si="4"/>
        <v>6.2615175359054615E-2</v>
      </c>
      <c r="M4" s="5">
        <f t="shared" si="5"/>
        <v>0.13467841350794996</v>
      </c>
      <c r="N4" s="5">
        <f t="shared" si="6"/>
        <v>91.455273698264349</v>
      </c>
    </row>
    <row r="5" spans="1:14" x14ac:dyDescent="0.3">
      <c r="A5">
        <v>2022</v>
      </c>
      <c r="B5">
        <f>UPSC_Master_Data!B5</f>
        <v>1135697</v>
      </c>
      <c r="C5">
        <f>UPSC_Master_Data!C5</f>
        <v>573735</v>
      </c>
      <c r="D5">
        <f>UPSC_Master_Data!D5</f>
        <v>13090</v>
      </c>
      <c r="E5">
        <f>UPSC_Master_Data!E5</f>
        <v>2529</v>
      </c>
      <c r="F5">
        <f>UPSC_Master_Data!F5</f>
        <v>933</v>
      </c>
      <c r="G5">
        <f>UPSC_Master_Data!G5</f>
        <v>1022</v>
      </c>
      <c r="H5" s="5">
        <f t="shared" si="0"/>
        <v>50.518316064936329</v>
      </c>
      <c r="I5" s="5">
        <f t="shared" si="1"/>
        <v>2.2815411296155892</v>
      </c>
      <c r="J5" s="5">
        <f t="shared" si="2"/>
        <v>19.320091673032849</v>
      </c>
      <c r="K5" s="5">
        <f t="shared" si="3"/>
        <v>36.892052194543297</v>
      </c>
      <c r="L5" s="5">
        <f t="shared" si="4"/>
        <v>8.2152193762949091E-2</v>
      </c>
      <c r="M5" s="5">
        <f t="shared" si="5"/>
        <v>0.16261863055243272</v>
      </c>
      <c r="N5" s="5">
        <f t="shared" si="6"/>
        <v>91.291585127201571</v>
      </c>
    </row>
    <row r="6" spans="1:14" x14ac:dyDescent="0.3">
      <c r="A6">
        <v>2023</v>
      </c>
      <c r="B6">
        <f>UPSC_Master_Data!B6</f>
        <v>1016850</v>
      </c>
      <c r="C6">
        <f>UPSC_Master_Data!C6</f>
        <v>592141</v>
      </c>
      <c r="D6">
        <f>UPSC_Master_Data!D6</f>
        <v>14624</v>
      </c>
      <c r="E6">
        <f>UPSC_Master_Data!E6</f>
        <v>2855</v>
      </c>
      <c r="F6">
        <f>UPSC_Master_Data!F6</f>
        <v>1016</v>
      </c>
      <c r="G6">
        <f>UPSC_Master_Data!G6</f>
        <v>1143</v>
      </c>
      <c r="H6" s="5">
        <f t="shared" si="0"/>
        <v>58.232876038747115</v>
      </c>
      <c r="I6" s="5">
        <f t="shared" si="1"/>
        <v>2.4696820520788121</v>
      </c>
      <c r="J6" s="5">
        <f t="shared" si="2"/>
        <v>19.522702407002189</v>
      </c>
      <c r="K6" s="5">
        <f t="shared" si="3"/>
        <v>35.586690017513135</v>
      </c>
      <c r="L6" s="5">
        <f t="shared" si="4"/>
        <v>9.9916408516497024E-2</v>
      </c>
      <c r="M6" s="5">
        <f t="shared" si="5"/>
        <v>0.1715807552593048</v>
      </c>
      <c r="N6" s="5">
        <f t="shared" si="6"/>
        <v>88.888888888888886</v>
      </c>
    </row>
    <row r="7" spans="1:14" x14ac:dyDescent="0.3">
      <c r="A7">
        <v>2024</v>
      </c>
      <c r="B7">
        <f>UPSC_Master_Data!B7</f>
        <v>992599</v>
      </c>
      <c r="C7">
        <f>UPSC_Master_Data!C7</f>
        <v>583213</v>
      </c>
      <c r="D7">
        <f>UPSC_Master_Data!D7</f>
        <v>14627</v>
      </c>
      <c r="E7">
        <f>UPSC_Master_Data!E7</f>
        <v>2845</v>
      </c>
      <c r="F7">
        <f>UPSC_Master_Data!F7</f>
        <v>1009</v>
      </c>
      <c r="G7">
        <f>UPSC_Master_Data!G7</f>
        <v>1129</v>
      </c>
      <c r="H7" s="5">
        <f t="shared" si="0"/>
        <v>58.756154297959199</v>
      </c>
      <c r="I7" s="5">
        <f t="shared" si="1"/>
        <v>2.508003079492398</v>
      </c>
      <c r="J7" s="5">
        <f t="shared" si="2"/>
        <v>19.450331578587544</v>
      </c>
      <c r="K7" s="5">
        <f t="shared" si="3"/>
        <v>35.465729349736378</v>
      </c>
      <c r="L7" s="5">
        <f>F7/B7*100</f>
        <v>0.10165232888608591</v>
      </c>
      <c r="M7" s="5">
        <f t="shared" si="5"/>
        <v>0.17300711746823202</v>
      </c>
      <c r="N7" s="5">
        <f t="shared" si="6"/>
        <v>89.371124889282555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C2C8-0CD1-4F5D-9A19-0ABF1180D0D2}">
  <dimension ref="A1:H14"/>
  <sheetViews>
    <sheetView workbookViewId="0">
      <selection activeCell="J19" sqref="J19"/>
    </sheetView>
  </sheetViews>
  <sheetFormatPr defaultRowHeight="14.4" x14ac:dyDescent="0.3"/>
  <cols>
    <col min="1" max="1" width="11.6640625" bestFit="1" customWidth="1"/>
    <col min="2" max="2" width="32" bestFit="1" customWidth="1"/>
  </cols>
  <sheetData>
    <row r="1" spans="1:8" s="3" customFormat="1" x14ac:dyDescent="0.3">
      <c r="A1" s="3" t="s">
        <v>50</v>
      </c>
      <c r="B1" s="3" t="s">
        <v>51</v>
      </c>
      <c r="C1" s="3">
        <v>2019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</row>
    <row r="2" spans="1:8" x14ac:dyDescent="0.3">
      <c r="A2" t="s">
        <v>39</v>
      </c>
      <c r="B2" t="s">
        <v>40</v>
      </c>
      <c r="C2">
        <f>Calculated_Metrics!B2</f>
        <v>1135261</v>
      </c>
      <c r="D2">
        <v>1040060</v>
      </c>
      <c r="E2">
        <v>1093984</v>
      </c>
      <c r="F2">
        <v>1135697</v>
      </c>
      <c r="G2">
        <v>1016850</v>
      </c>
      <c r="H2">
        <v>992599</v>
      </c>
    </row>
    <row r="3" spans="1:8" x14ac:dyDescent="0.3">
      <c r="A3" t="s">
        <v>39</v>
      </c>
      <c r="B3" t="s">
        <v>41</v>
      </c>
      <c r="C3">
        <f>Calculated_Metrics!C2</f>
        <v>576712</v>
      </c>
      <c r="D3">
        <v>482770</v>
      </c>
      <c r="E3">
        <v>508619</v>
      </c>
      <c r="F3">
        <v>573735</v>
      </c>
      <c r="G3">
        <v>592141</v>
      </c>
      <c r="H3">
        <v>583213</v>
      </c>
    </row>
    <row r="4" spans="1:8" x14ac:dyDescent="0.3">
      <c r="A4" t="s">
        <v>39</v>
      </c>
      <c r="B4" t="s">
        <v>7</v>
      </c>
      <c r="C4" s="5">
        <f>Calculated_Metrics!H2</f>
        <v>50.799948205742993</v>
      </c>
      <c r="D4">
        <v>46.42</v>
      </c>
      <c r="E4">
        <v>46.49</v>
      </c>
      <c r="F4">
        <v>50.52</v>
      </c>
      <c r="G4">
        <v>58.23</v>
      </c>
      <c r="H4">
        <v>58.76</v>
      </c>
    </row>
    <row r="5" spans="1:8" x14ac:dyDescent="0.3">
      <c r="A5" t="s">
        <v>42</v>
      </c>
      <c r="B5" t="s">
        <v>43</v>
      </c>
      <c r="C5">
        <f>Calculated_Metrics!D2</f>
        <v>11845</v>
      </c>
      <c r="D5">
        <v>10564</v>
      </c>
      <c r="E5">
        <v>9214</v>
      </c>
      <c r="F5">
        <v>13090</v>
      </c>
      <c r="G5">
        <v>14624</v>
      </c>
      <c r="H5">
        <v>14627</v>
      </c>
    </row>
    <row r="6" spans="1:8" x14ac:dyDescent="0.3">
      <c r="A6" t="s">
        <v>42</v>
      </c>
      <c r="B6" t="s">
        <v>44</v>
      </c>
      <c r="C6" s="5">
        <f>Calculated_Metrics!I2</f>
        <v>2.0538847813119894</v>
      </c>
      <c r="D6">
        <v>2.19</v>
      </c>
      <c r="E6">
        <v>1.81</v>
      </c>
      <c r="F6">
        <v>2.2799999999999998</v>
      </c>
      <c r="G6">
        <v>2.4700000000000002</v>
      </c>
      <c r="H6">
        <v>2.5099999999999998</v>
      </c>
    </row>
    <row r="7" spans="1:8" x14ac:dyDescent="0.3">
      <c r="A7" t="s">
        <v>42</v>
      </c>
      <c r="B7" t="s">
        <v>4</v>
      </c>
      <c r="C7">
        <f>Calculated_Metrics!E2</f>
        <v>2034</v>
      </c>
      <c r="D7">
        <v>2053</v>
      </c>
      <c r="E7">
        <v>1824</v>
      </c>
      <c r="F7">
        <v>2529</v>
      </c>
      <c r="G7">
        <v>2855</v>
      </c>
      <c r="H7">
        <v>2845</v>
      </c>
    </row>
    <row r="8" spans="1:8" x14ac:dyDescent="0.3">
      <c r="A8" t="s">
        <v>42</v>
      </c>
      <c r="B8" t="s">
        <v>45</v>
      </c>
      <c r="C8" s="5">
        <f>Calculated_Metrics!J2</f>
        <v>17.171802448290418</v>
      </c>
      <c r="D8">
        <v>19.43</v>
      </c>
      <c r="E8">
        <v>19.8</v>
      </c>
      <c r="F8">
        <v>19.32</v>
      </c>
      <c r="G8">
        <v>19.52</v>
      </c>
      <c r="H8">
        <v>19.45</v>
      </c>
    </row>
    <row r="9" spans="1:8" x14ac:dyDescent="0.3">
      <c r="A9" t="s">
        <v>42</v>
      </c>
      <c r="B9" t="s">
        <v>5</v>
      </c>
      <c r="C9">
        <f>Calculated_Metrics!F2</f>
        <v>829</v>
      </c>
      <c r="D9">
        <v>761</v>
      </c>
      <c r="E9">
        <v>685</v>
      </c>
      <c r="F9">
        <v>933</v>
      </c>
      <c r="G9">
        <v>1016</v>
      </c>
      <c r="H9">
        <v>1009</v>
      </c>
    </row>
    <row r="10" spans="1:8" x14ac:dyDescent="0.3">
      <c r="A10" t="s">
        <v>42</v>
      </c>
      <c r="B10" t="s">
        <v>46</v>
      </c>
      <c r="C10" s="5">
        <f>Calculated_Metrics!K2</f>
        <v>40.757128810226156</v>
      </c>
      <c r="D10">
        <v>37.07</v>
      </c>
      <c r="E10">
        <v>37.549999999999997</v>
      </c>
      <c r="F10">
        <v>36.89</v>
      </c>
      <c r="G10">
        <v>35.590000000000003</v>
      </c>
      <c r="H10">
        <v>35.47</v>
      </c>
    </row>
    <row r="11" spans="1:8" x14ac:dyDescent="0.3">
      <c r="A11" t="s">
        <v>47</v>
      </c>
      <c r="B11" t="s">
        <v>48</v>
      </c>
      <c r="C11" s="5">
        <f>Calculated_Metrics!L2</f>
        <v>7.3022855537184836E-2</v>
      </c>
      <c r="D11">
        <v>7.0000000000000007E-2</v>
      </c>
      <c r="E11">
        <v>0.06</v>
      </c>
      <c r="F11">
        <v>0.08</v>
      </c>
      <c r="G11">
        <v>0.1</v>
      </c>
      <c r="H11">
        <v>0.1</v>
      </c>
    </row>
    <row r="12" spans="1:8" x14ac:dyDescent="0.3">
      <c r="A12" t="s">
        <v>47</v>
      </c>
      <c r="B12" t="s">
        <v>9</v>
      </c>
      <c r="C12" s="5">
        <f>Calculated_Metrics!M2</f>
        <v>0.14374592517582432</v>
      </c>
      <c r="D12">
        <v>0.16</v>
      </c>
      <c r="E12">
        <v>0.13</v>
      </c>
      <c r="F12">
        <v>0.16</v>
      </c>
      <c r="G12">
        <v>0.17</v>
      </c>
      <c r="H12">
        <v>0.17</v>
      </c>
    </row>
    <row r="13" spans="1:8" x14ac:dyDescent="0.3">
      <c r="A13" t="s">
        <v>47</v>
      </c>
      <c r="B13" t="s">
        <v>6</v>
      </c>
      <c r="C13">
        <f>Calculated_Metrics!G2</f>
        <v>927</v>
      </c>
      <c r="D13">
        <v>836</v>
      </c>
      <c r="E13">
        <v>749</v>
      </c>
      <c r="F13">
        <v>1022</v>
      </c>
      <c r="G13">
        <v>1143</v>
      </c>
      <c r="H13">
        <v>1129</v>
      </c>
    </row>
    <row r="14" spans="1:8" x14ac:dyDescent="0.3">
      <c r="A14" t="s">
        <v>47</v>
      </c>
      <c r="B14" t="s">
        <v>49</v>
      </c>
      <c r="C14" s="5">
        <f>Calculated_Metrics!N2</f>
        <v>89.428263214670977</v>
      </c>
      <c r="D14">
        <v>91.03</v>
      </c>
      <c r="E14">
        <v>91.46</v>
      </c>
      <c r="F14">
        <v>91.29</v>
      </c>
      <c r="G14">
        <v>88.89</v>
      </c>
      <c r="H14">
        <v>89.37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4E60-B811-4F1C-8635-821F852EEEFA}">
  <dimension ref="A1:C9"/>
  <sheetViews>
    <sheetView workbookViewId="0">
      <selection activeCell="C20" sqref="C20"/>
    </sheetView>
  </sheetViews>
  <sheetFormatPr defaultRowHeight="14.4" x14ac:dyDescent="0.3"/>
  <cols>
    <col min="1" max="1" width="29.33203125" customWidth="1"/>
    <col min="2" max="2" width="129.6640625" customWidth="1"/>
    <col min="3" max="3" width="146.77734375" bestFit="1" customWidth="1"/>
  </cols>
  <sheetData>
    <row r="1" spans="1:3" s="3" customFormat="1" x14ac:dyDescent="0.3">
      <c r="A1" s="4" t="s">
        <v>50</v>
      </c>
      <c r="B1" s="4" t="s">
        <v>52</v>
      </c>
      <c r="C1" s="4" t="s">
        <v>53</v>
      </c>
    </row>
    <row r="2" spans="1:3" x14ac:dyDescent="0.3">
      <c r="A2" t="s">
        <v>54</v>
      </c>
      <c r="B2" t="s">
        <v>77</v>
      </c>
      <c r="C2" t="s">
        <v>78</v>
      </c>
    </row>
    <row r="3" spans="1:3" x14ac:dyDescent="0.3">
      <c r="A3" t="s">
        <v>55</v>
      </c>
      <c r="B3" t="s">
        <v>79</v>
      </c>
      <c r="C3" t="s">
        <v>80</v>
      </c>
    </row>
    <row r="4" spans="1:3" x14ac:dyDescent="0.3">
      <c r="A4" t="s">
        <v>56</v>
      </c>
      <c r="B4" t="s">
        <v>81</v>
      </c>
      <c r="C4" t="s">
        <v>82</v>
      </c>
    </row>
    <row r="5" spans="1:3" x14ac:dyDescent="0.3">
      <c r="A5" t="s">
        <v>57</v>
      </c>
      <c r="B5" t="s">
        <v>83</v>
      </c>
      <c r="C5" t="s">
        <v>84</v>
      </c>
    </row>
    <row r="6" spans="1:3" x14ac:dyDescent="0.3">
      <c r="A6" t="s">
        <v>58</v>
      </c>
      <c r="B6" t="s">
        <v>85</v>
      </c>
      <c r="C6" t="s">
        <v>86</v>
      </c>
    </row>
    <row r="7" spans="1:3" x14ac:dyDescent="0.3">
      <c r="A7" t="s">
        <v>59</v>
      </c>
      <c r="B7" t="s">
        <v>87</v>
      </c>
      <c r="C7" t="s">
        <v>88</v>
      </c>
    </row>
    <row r="8" spans="1:3" x14ac:dyDescent="0.3">
      <c r="A8" t="s">
        <v>60</v>
      </c>
      <c r="B8" t="s">
        <v>89</v>
      </c>
      <c r="C8" t="s">
        <v>90</v>
      </c>
    </row>
    <row r="9" spans="1:3" x14ac:dyDescent="0.3">
      <c r="A9" t="s">
        <v>61</v>
      </c>
      <c r="B9" t="s">
        <v>91</v>
      </c>
      <c r="C9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05ED-9FBD-48CD-8F94-A9B25F96ADE8}">
  <dimension ref="A1:N8"/>
  <sheetViews>
    <sheetView topLeftCell="M1" workbookViewId="0">
      <selection activeCell="L1" sqref="L1:N4"/>
    </sheetView>
  </sheetViews>
  <sheetFormatPr defaultRowHeight="14.4" x14ac:dyDescent="0.3"/>
  <cols>
    <col min="1" max="1" width="29.88671875" customWidth="1"/>
    <col min="2" max="2" width="25.109375" customWidth="1"/>
    <col min="3" max="3" width="21" customWidth="1"/>
    <col min="4" max="4" width="22" customWidth="1"/>
    <col min="5" max="5" width="19.6640625" customWidth="1"/>
    <col min="6" max="6" width="23.33203125" customWidth="1"/>
    <col min="7" max="7" width="16" customWidth="1"/>
    <col min="8" max="8" width="15.44140625" customWidth="1"/>
    <col min="9" max="9" width="10" bestFit="1" customWidth="1"/>
    <col min="10" max="10" width="9.77734375" bestFit="1" customWidth="1"/>
    <col min="12" max="12" width="23.33203125" bestFit="1" customWidth="1"/>
    <col min="13" max="13" width="10.6640625" bestFit="1" customWidth="1"/>
    <col min="14" max="14" width="11.33203125" bestFit="1" customWidth="1"/>
  </cols>
  <sheetData>
    <row r="1" spans="1:14" s="3" customFormat="1" x14ac:dyDescent="0.3">
      <c r="A1" s="4" t="s">
        <v>51</v>
      </c>
      <c r="B1" s="4" t="s">
        <v>62</v>
      </c>
      <c r="C1" s="4" t="s">
        <v>63</v>
      </c>
      <c r="D1" s="4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74</v>
      </c>
    </row>
    <row r="2" spans="1:14" x14ac:dyDescent="0.3">
      <c r="A2" t="s">
        <v>1</v>
      </c>
      <c r="B2">
        <f>AVERAGE(Calculated_Metrics!B2:B7)</f>
        <v>1069075.1666666667</v>
      </c>
      <c r="C2">
        <f>MIN(Calculated_Metrics!B2:B7)</f>
        <v>992599</v>
      </c>
      <c r="D2">
        <f>MAX(Calculated_Metrics!B2:B7)</f>
        <v>1135697</v>
      </c>
      <c r="E2">
        <f>INDEX(Calculated_Metrics!A2:A7,MATCH(C2,Calculated_Metrics!B2:B7,0))</f>
        <v>2024</v>
      </c>
      <c r="F2">
        <f>INDEX(Calculated_Metrics!A2:A7,MATCH(D2,Calculated_Metrics!B2:B7,0))</f>
        <v>2022</v>
      </c>
      <c r="L2" s="5">
        <f>AVERAGE(Calculated_Metrics!N2:N7)</f>
        <v>90.243973992046605</v>
      </c>
      <c r="M2">
        <f>INDEX(Calculated_Metrics!A2:A7,MATCH(MIN(Calculated_Metrics!N2:N7),Calculated_Metrics!N2:N7,0))</f>
        <v>2023</v>
      </c>
      <c r="N2">
        <f>INDEX(Calculated_Metrics!A2:A7,MATCH(MAX(Calculated_Metrics!N2:N7),Calculated_Metrics!N2:N7,0))</f>
        <v>2021</v>
      </c>
    </row>
    <row r="3" spans="1:14" x14ac:dyDescent="0.3">
      <c r="A3" t="s">
        <v>33</v>
      </c>
      <c r="B3">
        <f>AVERAGE(Calculated_Metrics!C2:C7)</f>
        <v>552865</v>
      </c>
      <c r="C3">
        <f>MIN(Calculated_Metrics!C2:C7)</f>
        <v>482770</v>
      </c>
      <c r="D3">
        <f>MAX(Calculated_Metrics!C2:C7)</f>
        <v>592141</v>
      </c>
      <c r="E3">
        <f>INDEX(Calculated_Metrics!A2:A7,MATCH(C3,Calculated_Metrics!C2:C7,0))</f>
        <v>2020</v>
      </c>
      <c r="F3">
        <f>INDEX(Calculated_Metrics!A2:A7,MATCH(D3,Calculated_Metrics!C2:C7,0))</f>
        <v>2023</v>
      </c>
      <c r="L3" s="3" t="s">
        <v>75</v>
      </c>
      <c r="M3" s="5">
        <f>MIN(Calculated_Metrics!N2:N7)</f>
        <v>88.888888888888886</v>
      </c>
    </row>
    <row r="4" spans="1:14" x14ac:dyDescent="0.3">
      <c r="A4" t="s">
        <v>34</v>
      </c>
      <c r="B4" s="5">
        <f>AVERAGE(Calculated_Metrics!H2:H7)</f>
        <v>51.869528474042113</v>
      </c>
      <c r="C4" s="5">
        <f>MIN(Calculated_Metrics!H2:H7)</f>
        <v>46.417514374170722</v>
      </c>
      <c r="D4" s="5">
        <f>MAX(Calculated_Metrics!H2:H7)</f>
        <v>58.756154297959199</v>
      </c>
      <c r="E4">
        <f>INDEX(Calculated_Metrics!A2:A7,MATCH(C4,Calculated_Metrics!H2:H7,0))</f>
        <v>2020</v>
      </c>
      <c r="F4">
        <f>INDEX(Calculated_Metrics!A2:A7,MATCH(D4,Calculated_Metrics!H2:H7,0))</f>
        <v>2024</v>
      </c>
      <c r="G4" s="5">
        <f t="shared" ref="G4:H8" si="0">C4</f>
        <v>46.417514374170722</v>
      </c>
      <c r="H4" s="5">
        <f t="shared" si="0"/>
        <v>58.756154297959199</v>
      </c>
      <c r="I4" s="5">
        <f>Calculated_Metrics!H2</f>
        <v>50.799948205742993</v>
      </c>
      <c r="J4" s="5">
        <f>Calculated_Metrics!H7</f>
        <v>58.756154297959199</v>
      </c>
      <c r="K4" s="5">
        <f>J4-I4</f>
        <v>7.9562060922162061</v>
      </c>
      <c r="L4" s="3" t="s">
        <v>76</v>
      </c>
      <c r="M4" s="5">
        <f>MAX(Calculated_Metrics!N2:N7)</f>
        <v>91.455273698264349</v>
      </c>
    </row>
    <row r="5" spans="1:14" x14ac:dyDescent="0.3">
      <c r="A5" t="s">
        <v>8</v>
      </c>
      <c r="B5" s="5">
        <f>AVERAGE(Calculated_Metrics!I2:I7)</f>
        <v>2.2188147876706155</v>
      </c>
      <c r="C5" s="5">
        <f>MIN(Calculated_Metrics!I2:I7)</f>
        <v>1.8115721197989063</v>
      </c>
      <c r="D5" s="5">
        <f>MAX(Calculated_Metrics!I2:I7)</f>
        <v>2.508003079492398</v>
      </c>
      <c r="E5">
        <f>INDEX(Calculated_Metrics!A2:A7,MATCH(C5,Calculated_Metrics!I2:I7,0))</f>
        <v>2021</v>
      </c>
      <c r="F5">
        <f>INDEX(Calculated_Metrics!A2:A7,MATCH(D5,Calculated_Metrics!I2:I7,0))</f>
        <v>2024</v>
      </c>
      <c r="G5" s="5">
        <f t="shared" si="0"/>
        <v>1.8115721197989063</v>
      </c>
      <c r="H5" s="5">
        <f t="shared" si="0"/>
        <v>2.508003079492398</v>
      </c>
      <c r="I5" s="5">
        <f>Calculated_Metrics!I2</f>
        <v>2.0538847813119894</v>
      </c>
      <c r="J5" s="5">
        <f>Calculated_Metrics!I7</f>
        <v>2.508003079492398</v>
      </c>
      <c r="K5" s="5">
        <f>J5-I5</f>
        <v>0.45411829818040861</v>
      </c>
    </row>
    <row r="6" spans="1:14" x14ac:dyDescent="0.3">
      <c r="A6" t="s">
        <v>35</v>
      </c>
      <c r="B6" s="5">
        <f>AVERAGE(Calculated_Metrics!J2:J7)</f>
        <v>19.115802885899694</v>
      </c>
      <c r="C6" s="5">
        <f>MIN(Calculated_Metrics!J2:J7)</f>
        <v>17.171802448290418</v>
      </c>
      <c r="D6" s="5">
        <f>MAX(Calculated_Metrics!J2:J7)</f>
        <v>19.795962665509009</v>
      </c>
      <c r="E6">
        <f>INDEX(Calculated_Metrics!A2:A7,MATCH(C6,Calculated_Metrics!J2:J7,0))</f>
        <v>2019</v>
      </c>
      <c r="F6">
        <f>INDEX(Calculated_Metrics!A2:A7,MATCH(D6,Calculated_Metrics!J2:J7,0))</f>
        <v>2021</v>
      </c>
      <c r="G6" s="5">
        <f t="shared" si="0"/>
        <v>17.171802448290418</v>
      </c>
      <c r="H6" s="5">
        <f t="shared" si="0"/>
        <v>19.795962665509009</v>
      </c>
      <c r="I6" s="5">
        <f>Calculated_Metrics!J2</f>
        <v>17.171802448290418</v>
      </c>
      <c r="J6" s="5">
        <f>Calculated_Metrics!J7</f>
        <v>19.450331578587544</v>
      </c>
      <c r="K6" s="5">
        <f>J6-I6</f>
        <v>2.2785291302971267</v>
      </c>
    </row>
    <row r="7" spans="1:14" x14ac:dyDescent="0.3">
      <c r="A7" t="s">
        <v>36</v>
      </c>
      <c r="B7" s="5">
        <f>AVERAGE(Calculated_Metrics!K2:K7)</f>
        <v>37.220688454969661</v>
      </c>
      <c r="C7" s="5">
        <f>MIN(Calculated_Metrics!K2:K7)</f>
        <v>35.465729349736378</v>
      </c>
      <c r="D7" s="5">
        <f>MAX(Calculated_Metrics!K2:K7)</f>
        <v>40.757128810226156</v>
      </c>
      <c r="E7">
        <f>INDEX(Calculated_Metrics!A2:A7,MATCH(C7,Calculated_Metrics!K2:K7,0))</f>
        <v>2024</v>
      </c>
      <c r="F7">
        <f>INDEX(Calculated_Metrics!A2:A7,MATCH(D7,Calculated_Metrics!K2:K7,0))</f>
        <v>2019</v>
      </c>
      <c r="G7" s="5">
        <f t="shared" si="0"/>
        <v>35.465729349736378</v>
      </c>
      <c r="H7" s="5">
        <f t="shared" si="0"/>
        <v>40.757128810226156</v>
      </c>
      <c r="I7" s="5">
        <f>Calculated_Metrics!K2</f>
        <v>40.757128810226156</v>
      </c>
      <c r="J7" s="5">
        <f>Calculated_Metrics!K7</f>
        <v>35.465729349736378</v>
      </c>
      <c r="K7" s="5">
        <f t="shared" ref="K7:K8" si="1">J7-I7</f>
        <v>-5.2913994604897781</v>
      </c>
    </row>
    <row r="8" spans="1:14" x14ac:dyDescent="0.3">
      <c r="A8" t="s">
        <v>37</v>
      </c>
      <c r="B8" s="5">
        <f>AVERAGE(Calculated_Metrics!L2:L7)</f>
        <v>8.208796961745253E-2</v>
      </c>
      <c r="C8" s="5">
        <f>MIN(Calculated_Metrics!L2:L7)</f>
        <v>6.2615175359054615E-2</v>
      </c>
      <c r="D8" s="5">
        <f>MAX(Calculated_Metrics!L2:L7)</f>
        <v>0.10165232888608591</v>
      </c>
      <c r="E8">
        <f>INDEX(Calculated_Metrics!A2:A7,MATCH(C8,Calculated_Metrics!L2:L7,0))</f>
        <v>2021</v>
      </c>
      <c r="F8">
        <f>INDEX(Calculated_Metrics!A2:A7,MATCH(D8,Calculated_Metrics!L2:L7,0))</f>
        <v>2024</v>
      </c>
      <c r="G8" s="5">
        <f t="shared" si="0"/>
        <v>6.2615175359054615E-2</v>
      </c>
      <c r="H8" s="5">
        <f t="shared" si="0"/>
        <v>0.10165232888608591</v>
      </c>
      <c r="I8" s="5">
        <f>Calculated_Metrics!L2</f>
        <v>7.3022855537184836E-2</v>
      </c>
      <c r="J8" s="5">
        <f>Calculated_Metrics!L7</f>
        <v>0.10165232888608591</v>
      </c>
      <c r="K8" s="5">
        <f t="shared" si="1"/>
        <v>2.8629473348901077E-2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98C9-A5C6-4FDF-9E88-3422189E66FF}">
  <dimension ref="B1:K7"/>
  <sheetViews>
    <sheetView tabSelected="1" topLeftCell="A28" zoomScale="74" zoomScaleNormal="100" workbookViewId="0">
      <selection activeCell="P24" sqref="P24"/>
    </sheetView>
  </sheetViews>
  <sheetFormatPr defaultRowHeight="14.4" x14ac:dyDescent="0.3"/>
  <cols>
    <col min="1" max="1" width="32.109375" customWidth="1"/>
    <col min="2" max="2" width="59.88671875" bestFit="1" customWidth="1"/>
    <col min="5" max="5" width="20.77734375" bestFit="1" customWidth="1"/>
    <col min="8" max="8" width="26.6640625" bestFit="1" customWidth="1"/>
    <col min="11" max="11" width="23.77734375" bestFit="1" customWidth="1"/>
  </cols>
  <sheetData>
    <row r="1" spans="2:11" s="16" customFormat="1" ht="33.6" x14ac:dyDescent="0.65">
      <c r="B1" s="15" t="s">
        <v>97</v>
      </c>
    </row>
    <row r="2" spans="2:11" s="14" customFormat="1" ht="23.4" x14ac:dyDescent="0.45">
      <c r="C2" s="14" t="s">
        <v>98</v>
      </c>
    </row>
    <row r="4" spans="2:11" s="3" customFormat="1" x14ac:dyDescent="0.3">
      <c r="B4" s="8" t="s">
        <v>93</v>
      </c>
      <c r="C4" s="8"/>
      <c r="E4" s="9" t="s">
        <v>94</v>
      </c>
      <c r="F4" s="9"/>
      <c r="H4" s="9" t="s">
        <v>95</v>
      </c>
      <c r="I4" s="9"/>
      <c r="K4" s="9" t="s">
        <v>96</v>
      </c>
    </row>
    <row r="5" spans="2:11" s="10" customFormat="1" ht="21" x14ac:dyDescent="0.4">
      <c r="B5" s="11">
        <f>SUM(UPSC_Master_Data!B2:B7)</f>
        <v>6414451</v>
      </c>
      <c r="C5" s="11"/>
      <c r="E5" s="12">
        <f>AVERAGE(Calculated_Metrics!H2:H7)</f>
        <v>51.869528474042113</v>
      </c>
      <c r="F5" s="13"/>
      <c r="H5" s="12">
        <f>AVERAGE(Calculated_Metrics!L2:L7)</f>
        <v>8.208796961745253E-2</v>
      </c>
      <c r="I5" s="13"/>
      <c r="K5" s="12">
        <f>AVERAGE(Calculated_Metrics!N2:N7)</f>
        <v>90.243973992046605</v>
      </c>
    </row>
    <row r="6" spans="2:11" x14ac:dyDescent="0.3">
      <c r="B6" s="7"/>
      <c r="C6" s="7"/>
      <c r="E6" s="6"/>
      <c r="F6" s="6"/>
      <c r="H6" s="6"/>
      <c r="I6" s="6"/>
      <c r="K6" s="6"/>
    </row>
    <row r="7" spans="2:11" x14ac:dyDescent="0.3">
      <c r="H7" s="6"/>
      <c r="I7" s="6"/>
    </row>
  </sheetData>
  <pageMargins left="0.7" right="0.7" top="0.75" bottom="0.75" header="0.3" footer="0.3"/>
  <pageSetup orientation="portrait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A6C6-9AE0-401C-975E-ECB6D3BD7190}">
  <dimension ref="A1:E13"/>
  <sheetViews>
    <sheetView workbookViewId="0">
      <selection activeCell="E22" sqref="E22"/>
    </sheetView>
  </sheetViews>
  <sheetFormatPr defaultRowHeight="14.4" x14ac:dyDescent="0.3"/>
  <cols>
    <col min="2" max="2" width="61.33203125" customWidth="1"/>
    <col min="3" max="3" width="11.6640625" customWidth="1"/>
    <col min="4" max="4" width="25.5546875" customWidth="1"/>
    <col min="5" max="5" width="88.109375" bestFit="1" customWidth="1"/>
  </cols>
  <sheetData>
    <row r="1" spans="1:5" x14ac:dyDescent="0.3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3">
      <c r="A2">
        <v>2019</v>
      </c>
      <c r="B2" t="s">
        <v>15</v>
      </c>
      <c r="D2" t="s">
        <v>16</v>
      </c>
      <c r="E2" t="s">
        <v>17</v>
      </c>
    </row>
    <row r="3" spans="1:5" x14ac:dyDescent="0.3">
      <c r="A3">
        <v>2019</v>
      </c>
      <c r="B3" t="s">
        <v>18</v>
      </c>
      <c r="D3" t="s">
        <v>16</v>
      </c>
      <c r="E3" t="s">
        <v>19</v>
      </c>
    </row>
    <row r="4" spans="1:5" x14ac:dyDescent="0.3">
      <c r="A4">
        <v>2020</v>
      </c>
      <c r="B4" t="s">
        <v>15</v>
      </c>
      <c r="D4" t="s">
        <v>16</v>
      </c>
      <c r="E4" t="s">
        <v>20</v>
      </c>
    </row>
    <row r="5" spans="1:5" x14ac:dyDescent="0.3">
      <c r="A5">
        <v>2020</v>
      </c>
      <c r="B5" t="s">
        <v>18</v>
      </c>
      <c r="D5" t="s">
        <v>16</v>
      </c>
      <c r="E5" t="s">
        <v>21</v>
      </c>
    </row>
    <row r="6" spans="1:5" x14ac:dyDescent="0.3">
      <c r="A6">
        <v>2021</v>
      </c>
      <c r="B6" t="s">
        <v>15</v>
      </c>
      <c r="D6" t="s">
        <v>16</v>
      </c>
      <c r="E6" t="s">
        <v>20</v>
      </c>
    </row>
    <row r="7" spans="1:5" x14ac:dyDescent="0.3">
      <c r="A7">
        <v>2021</v>
      </c>
      <c r="B7" t="s">
        <v>18</v>
      </c>
      <c r="D7" t="s">
        <v>16</v>
      </c>
      <c r="E7" t="s">
        <v>22</v>
      </c>
    </row>
    <row r="8" spans="1:5" x14ac:dyDescent="0.3">
      <c r="A8">
        <v>2022</v>
      </c>
      <c r="B8" t="s">
        <v>15</v>
      </c>
      <c r="C8" t="s">
        <v>23</v>
      </c>
      <c r="D8" t="s">
        <v>24</v>
      </c>
      <c r="E8" t="s">
        <v>25</v>
      </c>
    </row>
    <row r="9" spans="1:5" x14ac:dyDescent="0.3">
      <c r="A9">
        <v>2022</v>
      </c>
      <c r="B9" t="s">
        <v>18</v>
      </c>
      <c r="C9" t="s">
        <v>23</v>
      </c>
      <c r="D9" t="s">
        <v>24</v>
      </c>
      <c r="E9" t="s">
        <v>26</v>
      </c>
    </row>
    <row r="10" spans="1:5" x14ac:dyDescent="0.3">
      <c r="A10">
        <v>2023</v>
      </c>
      <c r="B10" t="s">
        <v>15</v>
      </c>
      <c r="C10" t="s">
        <v>27</v>
      </c>
      <c r="D10" t="s">
        <v>28</v>
      </c>
      <c r="E10" t="s">
        <v>29</v>
      </c>
    </row>
    <row r="11" spans="1:5" x14ac:dyDescent="0.3">
      <c r="A11">
        <v>2023</v>
      </c>
      <c r="B11" t="s">
        <v>18</v>
      </c>
      <c r="C11" t="s">
        <v>23</v>
      </c>
      <c r="D11" t="s">
        <v>24</v>
      </c>
      <c r="E11" t="s">
        <v>30</v>
      </c>
    </row>
    <row r="12" spans="1:5" x14ac:dyDescent="0.3">
      <c r="A12">
        <v>2024</v>
      </c>
      <c r="B12" t="s">
        <v>15</v>
      </c>
      <c r="C12" t="s">
        <v>27</v>
      </c>
      <c r="D12" t="s">
        <v>24</v>
      </c>
      <c r="E12" t="s">
        <v>31</v>
      </c>
    </row>
    <row r="13" spans="1:5" x14ac:dyDescent="0.3">
      <c r="A13">
        <v>2024</v>
      </c>
      <c r="B13" t="s">
        <v>18</v>
      </c>
      <c r="C13" t="s">
        <v>27</v>
      </c>
      <c r="D13" t="s">
        <v>24</v>
      </c>
      <c r="E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UPSC_Master_Data</vt:lpstr>
      <vt:lpstr>Calculated_Metrics</vt:lpstr>
      <vt:lpstr>Analysis</vt:lpstr>
      <vt:lpstr>Insights</vt:lpstr>
      <vt:lpstr>Summary_Stats</vt:lpstr>
      <vt:lpstr>Dashboard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Patel</dc:creator>
  <cp:lastModifiedBy>Ayush Patel</cp:lastModifiedBy>
  <dcterms:created xsi:type="dcterms:W3CDTF">2026-09-16T05:11:26Z</dcterms:created>
  <dcterms:modified xsi:type="dcterms:W3CDTF">2026-09-18T05:19:41Z</dcterms:modified>
</cp:coreProperties>
</file>